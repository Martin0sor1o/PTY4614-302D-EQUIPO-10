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Escritorio 2026\DUOC 2026-2\CAPSTONE\DOCUMENTOS POR FASE\DOCUMENTOS FASE1\EQUIPO 10\"/>
    </mc:Choice>
  </mc:AlternateContent>
  <bookViews>
    <workbookView xWindow="0" yWindow="0" windowWidth="28800" windowHeight="12315"/>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1" l="1"/>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C58" i="1"/>
  <c r="D6"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<sst xmlns="http://schemas.openxmlformats.org/spreadsheetml/2006/main" count="157" uniqueCount="98">
  <si>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</si>
  <si>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</si>
  <si>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</si>
  <si>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</si>
  <si>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</si>
  <si>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</si>
  <si>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</si>
  <si>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</si>
  <si>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</si>
  <si>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</si>
  <si>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</si>
  <si>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</si>
  <si>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</si>
  <si>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</si>
  <si>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</si>
  <si>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</si>
  <si>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</si>
  <si>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</si>
  <si>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</si>
  <si>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</si>
  <si>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</si>
  <si>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</si>
  <si>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</si>
  <si>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</si>
  <si>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</si>
  <si>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</si>
  <si>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</si>
  <si>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</si>
  <si>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</si>
  <si>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</si>
  <si>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</si>
  <si>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</si>
  <si>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</si>
  <si>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</si>
  <si>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</si>
  <si>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</si>
  <si>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</si>
  <si>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</si>
  <si>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</si>
  <si>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</si>
  <si>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</si>
  <si>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</si>
  <si>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</si>
  <si>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</si>
  <si>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</si>
  <si>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</si>
  <si>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</si>
  <si>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</si>
  <si>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</si>
  <si>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</si>
  <si>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</si>
  <si>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</si>
  <si>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</si>
  <si>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</si>
  <si>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</si>
  <si>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</si>
  <si>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</si>
  <si>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</si>
  <si>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</si>
  <si>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</si>
  <si>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</si>
  <si>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</si>
  <si>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</si>
  <si>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</si>
  <si>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</si>
  <si>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</si>
  <si>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</si>
  <si>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</si>
  <si>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</si>
  <si>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</si>
  <si>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</si>
  <si>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</si>
  <si>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</si>
  <si>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</si>
  <si>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</si>
  <si>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</si>
  <si>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</si>
  <si>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</si>
  <si>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</si>
  <si>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</si>
  <si>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</si>
  <si>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</si>
  <si>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</si>
  <si>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</si>
  <si>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</si>
  <si>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</si>
  <si>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</si>
  <si>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</si>
  <si>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</si>
  <si>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</si>
  <si>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</si>
  <si>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</si>
  <si>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</si>
  <si>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</si>
  <si>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</si>
  <si>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Martín Nicolás Osorio Martínez</t>
  </si>
  <si>
    <t>Benjamín Ignacio Rojas Palma</t>
  </si>
  <si>
    <t>Renato Andrés Espina Cid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</si>
</sst>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9"/>
  <sheetViews>
    <sheetView tabSelected="1" zoomScale="120" zoomScaleNormal="120" workbookViewId="0">
      <selection activeCell="E17" sqref="E17"/>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6.1</v>
      </c>
      <c r="D4" s="6">
        <f>$C$35</f>
        <v>7</v>
      </c>
      <c r="E4" s="43">
        <f>C4*C$2+D4*D$2</f>
        <v>6.3249999999999993</v>
      </c>
      <c r="G4" s="1"/>
    </row>
    <row r="5" spans="1:11" x14ac:dyDescent="0.25">
      <c r="A5" s="5">
        <v>2</v>
      </c>
      <c r="B5" s="32" t="s">
        <v>96</v>
      </c>
      <c r="C5" s="6">
        <f>EVALUACION1!$C$24</f>
        <v>6.1</v>
      </c>
      <c r="D5" s="6">
        <f>C47</f>
        <v>6</v>
      </c>
      <c r="E5" s="43">
        <f t="shared" ref="E5:E6" si="0">C5*C$2+D5*D$2</f>
        <v>6.0749999999999993</v>
      </c>
      <c r="G5" s="1"/>
    </row>
    <row r="6" spans="1:11" x14ac:dyDescent="0.25">
      <c r="A6" s="5">
        <v>3</v>
      </c>
      <c r="B6" s="32" t="s">
        <v>97</v>
      </c>
      <c r="C6" s="6">
        <f>EVALUACION1!$C$24</f>
        <v>6.1</v>
      </c>
      <c r="D6" s="6">
        <f>C58</f>
        <v>6</v>
      </c>
      <c r="E6" s="43">
        <f t="shared" si="0"/>
        <v>6.0749999999999993</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8</v>
      </c>
      <c r="D15" s="16" t="str">
        <f t="shared" si="1"/>
        <v/>
      </c>
      <c r="E15" s="16" t="str">
        <f t="shared" ref="E15:E21" si="9">IF(D15="X",100*0.05,"")</f>
        <v/>
      </c>
      <c r="F15" s="16" t="str">
        <f t="shared" si="2"/>
        <v>X</v>
      </c>
      <c r="G15" s="16">
        <f t="shared" ref="G15:G21" si="10">IF(F15="X",60*0.05,"")</f>
        <v>3</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8</v>
      </c>
      <c r="D18" s="16" t="str">
        <f t="shared" si="12"/>
        <v/>
      </c>
      <c r="E18" s="16" t="str">
        <f t="shared" ref="E18" si="20">IF(D18="X",100*0.1,"")</f>
        <v/>
      </c>
      <c r="F18" s="16" t="str">
        <f t="shared" si="14"/>
        <v>X</v>
      </c>
      <c r="G18" s="16">
        <f t="shared" ref="G18" si="21">IF(F18="X",60*0.1,"")</f>
        <v>6</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b">
        <f>B4=RUBRICA!A13</f>
        <v>0</v>
      </c>
      <c r="C20" s="33" t="s">
        <v>8</v>
      </c>
      <c r="D20" s="16" t="str">
        <f t="shared" si="12"/>
        <v/>
      </c>
      <c r="E20" s="16" t="str">
        <f>IF(D20="X",100*0.05,"")</f>
        <v/>
      </c>
      <c r="F20" s="16" t="str">
        <f t="shared" si="14"/>
        <v>X</v>
      </c>
      <c r="G20" s="16">
        <f t="shared" si="10"/>
        <v>3</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62</v>
      </c>
      <c r="D23" s="19"/>
      <c r="E23" s="19">
        <f>SUM(E13:E22)</f>
        <v>50</v>
      </c>
      <c r="F23" s="19"/>
      <c r="G23" s="19">
        <f>SUM(G13:G22)</f>
        <v>12</v>
      </c>
      <c r="H23" s="19"/>
      <c r="I23" s="19">
        <f>SUM(I13:I22)</f>
        <v>0</v>
      </c>
      <c r="J23" s="19"/>
      <c r="K23" s="19">
        <f>SUM(K13:K22)</f>
        <v>0</v>
      </c>
    </row>
    <row r="24" spans="1:11" ht="15.75" customHeight="1" outlineLevel="1" x14ac:dyDescent="0.3">
      <c r="A24" s="50"/>
      <c r="B24" s="36" t="s">
        <v>12</v>
      </c>
      <c r="C24" s="20">
        <f>VLOOKUP(C23,ESCALA_IEP!A2:B142,2,FALSE)</f>
        <v>6.1</v>
      </c>
    </row>
    <row r="25" spans="1:11" ht="15.75" customHeight="1" x14ac:dyDescent="0.25"/>
    <row r="26" spans="1:11" ht="15.75" customHeight="1" x14ac:dyDescent="0.25"/>
    <row r="27" spans="1:11" ht="15.75" customHeight="1" x14ac:dyDescent="0.25">
      <c r="A27" s="61" t="s">
        <v>13</v>
      </c>
      <c r="B27" s="49" t="s">
        <v>14</v>
      </c>
      <c r="C27" s="51" t="str">
        <f>$B$4</f>
        <v>Martín Nicolás Osorio Martínez</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Benjamín Ignacio Rojas Palma</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8</v>
      </c>
      <c r="D44" s="16" t="str">
        <f t="shared" si="31"/>
        <v/>
      </c>
      <c r="E44" s="16" t="str">
        <f>IF(D44="X",100*0.1,"")</f>
        <v/>
      </c>
      <c r="F44" s="16" t="str">
        <f t="shared" si="32"/>
        <v>X</v>
      </c>
      <c r="G44" s="16">
        <f>IF(F44="X",60*0.1,"")</f>
        <v>6</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50"/>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1" t="s">
        <v>13</v>
      </c>
      <c r="B50" s="49" t="s">
        <v>14</v>
      </c>
      <c r="C50" s="51" t="str">
        <f>B6</f>
        <v>Renato Andrés Espina Cid</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8</v>
      </c>
      <c r="D54" s="16" t="str">
        <f t="shared" ref="D54:D55" si="39">IF($C54=CL,"X","")</f>
        <v/>
      </c>
      <c r="E54" s="16" t="str">
        <f>IF(D54="X",100*0.1,"")</f>
        <v/>
      </c>
      <c r="F54" s="16" t="str">
        <f t="shared" ref="F54:F55" si="40">IF($C54=L,"X","")</f>
        <v>X</v>
      </c>
      <c r="G54" s="16">
        <f>IF(F54="X",60*0.1,"")</f>
        <v>6</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26</v>
      </c>
      <c r="D57" s="19">
        <f>COUNTIF(D55:D56,"X")</f>
        <v>2</v>
      </c>
      <c r="E57" s="19">
        <f>SUM(E54:E56)</f>
        <v>20</v>
      </c>
      <c r="F57" s="19">
        <f t="shared" ref="F57" si="44">SUM(F54:F56)</f>
        <v>0</v>
      </c>
      <c r="G57" s="19">
        <f t="shared" ref="G57" si="45">SUM(G54:G56)</f>
        <v>6</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6</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user</cp:lastModifiedBy>
  <cp:revision/>
  <dcterms:created xsi:type="dcterms:W3CDTF">2023-08-07T04:08:01Z</dcterms:created>
  <dcterms:modified xsi:type="dcterms:W3CDTF">2026-09-22T04:49:41Z</dcterms:modified>
  <cp:category/>
  <cp:contentStatus/>
</cp:coreProperties>
</file>